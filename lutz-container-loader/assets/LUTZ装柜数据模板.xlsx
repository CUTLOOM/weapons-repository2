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 activeTab="1"/>
  </bookViews>
  <sheets>
    <sheet name="Drop Down" sheetId="1" r:id="rId1"/>
    <sheet name="Proforma Invoice" sheetId="2" r:id="rId2"/>
  </sheets>
  <definedNames>
    <definedName name="_xlnm.Print_Area" localSheetId="1">'Proforma Invoice'!$A$1:$N$58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Paulusberger Anna</author>
  </authors>
  <commentList>
    <comment ref="B16" authorId="0">
      <text>
        <r>
          <rPr>
            <sz val="10"/>
            <rFont val="宋体"/>
            <charset val="134"/>
          </rPr>
          <t>Please select the correct notify party</t>
        </r>
      </text>
    </comment>
    <comment ref="M39" authorId="0">
      <text>
        <r>
          <rPr>
            <sz val="10"/>
            <rFont val="宋体"/>
            <charset val="134"/>
          </rPr>
          <t>please select yes or no</t>
        </r>
      </text>
    </comment>
  </commentList>
</comments>
</file>

<file path=xl/sharedStrings.xml><?xml version="1.0" encoding="utf-8"?>
<sst xmlns="http://schemas.openxmlformats.org/spreadsheetml/2006/main" count="152" uniqueCount="129">
  <si>
    <t>XXXLutz KG
Römerstraße 39
A-4600 Wels
UID-Nr.: ATU65296645</t>
  </si>
  <si>
    <t>yes</t>
  </si>
  <si>
    <t>BDSK Handels GmbH &amp; Co. KG
Mergentheimer Straße 59
D-97084 Würzburg
UID-Nr.: DE279448078</t>
  </si>
  <si>
    <t>no</t>
  </si>
  <si>
    <t>MX Logistika SL, spol. s.r.o
Roznavska 32
82104 Bratislava 2-Ruzinov, Slovakia
UID-Nr.: SK2022467568</t>
  </si>
  <si>
    <t>LES-MMS d.o.o.
Cesta na Bokalce 40
SI-1000 Ljubljana
UID-Nr.: SI74735705</t>
  </si>
  <si>
    <t>BAZHOU XINWEI FURNITURE CO. LTD.</t>
  </si>
  <si>
    <t>Supplier Adress:</t>
  </si>
  <si>
    <t xml:space="preserve">                                                                                          Address: 065701 Xinzhang Development Zone, Shengfang Town, Bazhou City</t>
  </si>
  <si>
    <t>Telephone:</t>
  </si>
  <si>
    <t>:+86-13313269251</t>
  </si>
  <si>
    <t>Email:</t>
  </si>
  <si>
    <t>ivory@dyfurniture.net</t>
  </si>
  <si>
    <t>Fax:</t>
  </si>
  <si>
    <r>
      <rPr>
        <b/>
        <sz val="14"/>
        <rFont val="微软雅黑"/>
        <charset val="134"/>
      </rPr>
      <t>箱号</t>
    </r>
  </si>
  <si>
    <t/>
  </si>
  <si>
    <t>ETD</t>
  </si>
  <si>
    <r>
      <rPr>
        <b/>
        <sz val="14"/>
        <rFont val="微软雅黑"/>
        <charset val="134"/>
      </rPr>
      <t>封号</t>
    </r>
  </si>
  <si>
    <t>ETA</t>
  </si>
  <si>
    <r>
      <rPr>
        <b/>
        <sz val="14"/>
        <rFont val="微软雅黑"/>
        <charset val="134"/>
      </rPr>
      <t>提单号</t>
    </r>
  </si>
  <si>
    <r>
      <rPr>
        <b/>
        <sz val="14"/>
        <rFont val="微软雅黑"/>
        <charset val="134"/>
      </rPr>
      <t>材质</t>
    </r>
  </si>
  <si>
    <r>
      <rPr>
        <sz val="12"/>
        <rFont val="微软雅黑"/>
        <charset val="134"/>
      </rPr>
      <t>布</t>
    </r>
    <r>
      <rPr>
        <sz val="12"/>
        <rFont val="Times New Roman"/>
        <charset val="134"/>
      </rPr>
      <t>+</t>
    </r>
    <r>
      <rPr>
        <sz val="12"/>
        <rFont val="微软雅黑"/>
        <charset val="134"/>
      </rPr>
      <t>金属</t>
    </r>
  </si>
  <si>
    <r>
      <rPr>
        <b/>
        <sz val="14"/>
        <rFont val="微软雅黑"/>
        <charset val="134"/>
      </rPr>
      <t>目的港</t>
    </r>
  </si>
  <si>
    <r>
      <rPr>
        <b/>
        <sz val="14"/>
        <rFont val="微软雅黑"/>
        <charset val="134"/>
      </rPr>
      <t>船名航次</t>
    </r>
  </si>
  <si>
    <r>
      <rPr>
        <b/>
        <sz val="14"/>
        <rFont val="微软雅黑"/>
        <charset val="134"/>
      </rPr>
      <t>总箱数</t>
    </r>
  </si>
  <si>
    <r>
      <rPr>
        <b/>
        <sz val="14"/>
        <rFont val="微软雅黑"/>
        <charset val="134"/>
      </rPr>
      <t>总毛重</t>
    </r>
  </si>
  <si>
    <r>
      <rPr>
        <b/>
        <sz val="14"/>
        <rFont val="微软雅黑"/>
        <charset val="134"/>
      </rPr>
      <t>总净重</t>
    </r>
  </si>
  <si>
    <r>
      <rPr>
        <b/>
        <sz val="14"/>
        <rFont val="微软雅黑"/>
        <charset val="134"/>
      </rPr>
      <t>总体积</t>
    </r>
  </si>
  <si>
    <t>PROFORMA  INVOICE</t>
  </si>
  <si>
    <t>Notify Party:</t>
  </si>
  <si>
    <t>BDSK Handels GmbH &amp; Co. KG
(Billing address)
Mergentheimer Straße 59
DE-97084 Würzburg
Germany
UID: DE279448078</t>
  </si>
  <si>
    <t>Date:</t>
  </si>
  <si>
    <t>22h May.2026</t>
  </si>
  <si>
    <t xml:space="preserve">Invoice No.: </t>
  </si>
  <si>
    <t>DY-D-260522004</t>
  </si>
  <si>
    <t xml:space="preserve">Order No.: </t>
  </si>
  <si>
    <t>8NBU6</t>
  </si>
  <si>
    <t>Photo</t>
  </si>
  <si>
    <t>XXXLutz
Item No.</t>
  </si>
  <si>
    <t>Design No./ Supplier Item number</t>
  </si>
  <si>
    <t>Description
(incl. color + size)</t>
  </si>
  <si>
    <t>Material</t>
  </si>
  <si>
    <t>Order Qty
(pieces)</t>
  </si>
  <si>
    <t xml:space="preserve">Unit Price
</t>
  </si>
  <si>
    <t>Total 
Amount</t>
  </si>
  <si>
    <t>Packing Unit</t>
  </si>
  <si>
    <t>CTN</t>
  </si>
  <si>
    <t>Total</t>
  </si>
  <si>
    <t>Logo</t>
  </si>
  <si>
    <t>EAN Code</t>
  </si>
  <si>
    <r>
      <rPr>
        <b/>
        <sz val="10"/>
        <rFont val="微软雅黑"/>
        <charset val="134"/>
      </rPr>
      <t>净重</t>
    </r>
  </si>
  <si>
    <r>
      <rPr>
        <b/>
        <sz val="10"/>
        <rFont val="微软雅黑"/>
        <charset val="134"/>
      </rPr>
      <t>总净重</t>
    </r>
  </si>
  <si>
    <r>
      <rPr>
        <b/>
        <sz val="10"/>
        <rFont val="微软雅黑"/>
        <charset val="134"/>
      </rPr>
      <t>毛重</t>
    </r>
  </si>
  <si>
    <r>
      <rPr>
        <b/>
        <sz val="10"/>
        <rFont val="微软雅黑"/>
        <charset val="134"/>
      </rPr>
      <t>总毛重</t>
    </r>
  </si>
  <si>
    <t>CBM</t>
  </si>
  <si>
    <t>10780066/01</t>
  </si>
  <si>
    <t>MATTI
DC-24020C</t>
  </si>
  <si>
    <t>Dining chair
Back and seat in fabb Hydra 35 kaki
Leg: red oak
KD structure,
360º swivel function without auto return</t>
  </si>
  <si>
    <t>Metal and fabric and oak WOOD</t>
  </si>
  <si>
    <t>Livetastic</t>
  </si>
  <si>
    <t>8NBU6-1</t>
  </si>
  <si>
    <t>10780077/03</t>
  </si>
  <si>
    <t>SLIDE
DC-925A</t>
  </si>
  <si>
    <t>Dining chair 
Back and seat in fabric vintage DC-912-440 brown , metal tube combined oak wood ,360 degree sviwel function
Drop-Test stress class    :   01</t>
  </si>
  <si>
    <t>Metal and fabric ,plywood , foam,oak</t>
  </si>
  <si>
    <t xml:space="preserve"> Livetastic</t>
  </si>
  <si>
    <t>8NBU6-2</t>
  </si>
  <si>
    <t>10780077/04</t>
  </si>
  <si>
    <t>Dining chair 
Back and seat in fabric vintage DC-912-500 rust , metal tube combined oak wood ,360 degree sviwel function
Drop-Test stress class    :   01</t>
  </si>
  <si>
    <t>8NBU6-3</t>
  </si>
  <si>
    <t>10780077/05</t>
  </si>
  <si>
    <t>Dining chair 
Back and seat in fabric vintage DC-912-353 olive green , metal tube combined oak wood ,360 degree sviwel function
Drop-Test stress class    :   01</t>
  </si>
  <si>
    <t>8NBU6-4</t>
  </si>
  <si>
    <t>10780078/02</t>
  </si>
  <si>
    <t>LELA
DC-943A</t>
  </si>
  <si>
    <t>Dining chair 
Back and seat in fabric vintage PK970-7 brown , metal tube with black powder coating . 360 degree swivel function
Drop-Test stress class    :   01</t>
  </si>
  <si>
    <t>Metal and fabric ,plywood , foam</t>
  </si>
  <si>
    <t>8NBU6-5</t>
  </si>
  <si>
    <t>10780093/03</t>
  </si>
  <si>
    <t>VIOLA
DC-838</t>
  </si>
  <si>
    <t>Dining chair
Back and seat in fabb BJORN16#
Leg: metal tube with black powder coating
KD structure</t>
  </si>
  <si>
    <t>Metal and fabric</t>
  </si>
  <si>
    <t>MID.YOU</t>
  </si>
  <si>
    <t>8NBU6-6</t>
  </si>
  <si>
    <t>Spareparts</t>
  </si>
  <si>
    <t>FOC</t>
  </si>
  <si>
    <t>discounts</t>
  </si>
  <si>
    <t>TOTAL</t>
  </si>
  <si>
    <t>TOTAL:</t>
  </si>
  <si>
    <t>TOTAL AMOUNT IN WORDS FOURTEEN THOUSAND ONE HUNDRED AND THIRTY FIVE POINT ONE FIVE DOLLARS ONLY</t>
  </si>
  <si>
    <t>Date of Shipment:</t>
  </si>
  <si>
    <t>2026-08-10 00:00:00</t>
  </si>
  <si>
    <t>Payment Term:</t>
  </si>
  <si>
    <t>100% TT payment- 15 days 
after receiving the original documents</t>
  </si>
  <si>
    <t>Necessary Information Incoterm EXW</t>
  </si>
  <si>
    <t>Incoterm:</t>
  </si>
  <si>
    <t xml:space="preserve">FOB </t>
  </si>
  <si>
    <t>Quantity of Pallets:</t>
  </si>
  <si>
    <t>Port of Loading:</t>
  </si>
  <si>
    <t>XINGANG,TIANJIN</t>
  </si>
  <si>
    <t>Pallet Dimension:</t>
  </si>
  <si>
    <t>Country of Origin:</t>
  </si>
  <si>
    <t>CHINA</t>
  </si>
  <si>
    <t>Port of Destination:</t>
  </si>
  <si>
    <t>Hamburg/Bremerhaven/Rotterdam</t>
  </si>
  <si>
    <t>Pallets stackable:</t>
  </si>
  <si>
    <t>Container Type:</t>
  </si>
  <si>
    <t>1X40HQ</t>
  </si>
  <si>
    <t>Exact Address of Loading Place:</t>
  </si>
  <si>
    <t>Remarks</t>
  </si>
  <si>
    <t>Transshipment not allowed</t>
  </si>
  <si>
    <t>Partial Shipment not allowed</t>
  </si>
  <si>
    <t>5% more or less both in amount and quantity allowed</t>
  </si>
  <si>
    <t>It is confirmed that no copy rights for third party with regard to orderd product (for example: Patent, brands or registered design rights etc.) exists.</t>
  </si>
  <si>
    <t>Bank information:</t>
  </si>
  <si>
    <t>Beneficiary:</t>
  </si>
  <si>
    <t>TIANJIN DE YUAN INTERNATIONAL TRADE CO.,LTD</t>
  </si>
  <si>
    <t>ADD Beneficiary:</t>
  </si>
  <si>
    <t>ROOM 701-1,BUILDING2,NO.2,LANYUAN ROAD,HUAYUAN INDUSTRIAL PARK,BINHAI NEW AREA,TIANJIN</t>
  </si>
  <si>
    <t>Bank Name:</t>
  </si>
  <si>
    <t>INDUSTRIAL AND COMMERCIAL BANK OF CHINA, TIANJIN HUAYUANXINQU SUB-BRANCH</t>
  </si>
  <si>
    <t xml:space="preserve">A/C NO.: </t>
  </si>
  <si>
    <t>0302015909910008411</t>
  </si>
  <si>
    <t xml:space="preserve">Swift Code: </t>
  </si>
  <si>
    <t>ICBKCNBJTJN</t>
  </si>
  <si>
    <t xml:space="preserve">ADD. OF A/C BANK: </t>
  </si>
  <si>
    <t xml:space="preserve">126 HUAYUAN ROAD NANKAI DISTRICT TIANJIN CHINA     </t>
  </si>
  <si>
    <t>Buyer:</t>
  </si>
  <si>
    <t xml:space="preserve">Suppliername (Stamp + Signature):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</si>
</sst>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_);[Red]\(&quot;US$&quot;\¥#,##0.00\)"/>
    <numFmt numFmtId="177" formatCode="0_);[Red]\(0\)"/>
    <numFmt numFmtId="178" formatCode="General&quot;CTNS&quot;"/>
    <numFmt numFmtId="179" formatCode="0.000_ "/>
    <numFmt numFmtId="180" formatCode="0.000_);[Red]\(0.000\)"/>
    <numFmt numFmtId="181" formatCode="&quot;US$&quot;#,##0.00_);[Red]\(&quot;US$&quot;&quot;￥&quot;#,##0.00\)"/>
    <numFmt numFmtId="182" formatCode="0.000"/>
    <numFmt numFmtId="183" formatCode="0_ "/>
  </numFmts>
  <fonts count="48">
    <font>
      <sz val="11"/>
      <color theme="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2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800080"/>
      <name val="Times New Roman"/>
      <charset val="0"/>
    </font>
    <font>
      <b/>
      <sz val="1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sz val="11.25"/>
      <name val="Times New Roman"/>
      <charset val="134"/>
    </font>
    <font>
      <b/>
      <sz val="16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8"/>
      <name val="Times New Roman"/>
      <charset val="134"/>
    </font>
    <font>
      <sz val="10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0"/>
      <color theme="6" tint="-0.249977111117893"/>
      <name val="Times New Roman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b/>
      <sz val="10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22" fillId="0" borderId="0">
      <alignment vertical="center"/>
    </xf>
    <xf numFmtId="44" fontId="22" fillId="0" borderId="0">
      <alignment vertical="center"/>
    </xf>
    <xf numFmtId="9" fontId="22" fillId="0" borderId="0">
      <alignment vertical="center"/>
    </xf>
    <xf numFmtId="41" fontId="22" fillId="0" borderId="0">
      <alignment vertical="center"/>
    </xf>
    <xf numFmtId="42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2" fillId="5" borderId="16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7">
      <alignment vertical="center"/>
    </xf>
    <xf numFmtId="0" fontId="29" fillId="0" borderId="17">
      <alignment vertical="center"/>
    </xf>
    <xf numFmtId="0" fontId="30" fillId="0" borderId="18">
      <alignment vertical="center"/>
    </xf>
    <xf numFmtId="0" fontId="30" fillId="0" borderId="0">
      <alignment vertical="center"/>
    </xf>
    <xf numFmtId="0" fontId="31" fillId="6" borderId="19">
      <alignment vertical="center"/>
    </xf>
    <xf numFmtId="0" fontId="32" fillId="7" borderId="20">
      <alignment vertical="center"/>
    </xf>
    <xf numFmtId="0" fontId="33" fillId="7" borderId="19">
      <alignment vertical="center"/>
    </xf>
    <xf numFmtId="0" fontId="34" fillId="8" borderId="21">
      <alignment vertical="center"/>
    </xf>
    <xf numFmtId="0" fontId="35" fillId="0" borderId="22">
      <alignment vertical="center"/>
    </xf>
    <xf numFmtId="0" fontId="36" fillId="0" borderId="23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9" fillId="11" borderId="0">
      <alignment vertical="center"/>
    </xf>
    <xf numFmtId="0" fontId="40" fillId="12" borderId="0">
      <alignment vertical="center"/>
    </xf>
    <xf numFmtId="0" fontId="41" fillId="13" borderId="0">
      <alignment vertical="center"/>
    </xf>
    <xf numFmtId="0" fontId="41" fillId="14" borderId="0">
      <alignment vertical="center"/>
    </xf>
    <xf numFmtId="0" fontId="40" fillId="15" borderId="0">
      <alignment vertical="center"/>
    </xf>
    <xf numFmtId="0" fontId="40" fillId="16" borderId="0">
      <alignment vertical="center"/>
    </xf>
    <xf numFmtId="0" fontId="41" fillId="17" borderId="0">
      <alignment vertical="center"/>
    </xf>
    <xf numFmtId="0" fontId="41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41" fillId="33" borderId="0">
      <alignment vertical="center"/>
    </xf>
    <xf numFmtId="0" fontId="41" fillId="34" borderId="0">
      <alignment vertical="center"/>
    </xf>
    <xf numFmtId="0" fontId="40" fillId="35" borderId="0">
      <alignment vertical="center"/>
    </xf>
    <xf numFmtId="0" fontId="42" fillId="0" borderId="0">
      <alignment vertical="center"/>
    </xf>
    <xf numFmtId="0" fontId="0" fillId="0" borderId="0">
      <alignment vertical="center"/>
    </xf>
    <xf numFmtId="0" fontId="42" fillId="0" borderId="0">
      <alignment vertical="center"/>
    </xf>
    <xf numFmtId="0" fontId="0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0" fillId="0" borderId="0"/>
    <xf numFmtId="0" fontId="43" fillId="0" borderId="0"/>
    <xf numFmtId="0" fontId="0" fillId="0" borderId="0"/>
    <xf numFmtId="0" fontId="42" fillId="0" borderId="0"/>
    <xf numFmtId="0" fontId="0" fillId="0" borderId="0"/>
    <xf numFmtId="0" fontId="0" fillId="0" borderId="0"/>
    <xf numFmtId="0" fontId="0" fillId="0" borderId="0"/>
    <xf numFmtId="0" fontId="16" fillId="36" borderId="0">
      <alignment horizontal="center" vertical="center"/>
    </xf>
    <xf numFmtId="0" fontId="0" fillId="0" borderId="0">
      <alignment vertical="center"/>
    </xf>
    <xf numFmtId="0" fontId="42" fillId="0" borderId="0"/>
    <xf numFmtId="0" fontId="0" fillId="0" borderId="0">
      <alignment vertical="center"/>
    </xf>
    <xf numFmtId="0" fontId="0" fillId="0" borderId="0">
      <alignment vertical="center"/>
    </xf>
    <xf numFmtId="0" fontId="42" fillId="0" borderId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0" borderId="0"/>
    <xf numFmtId="0" fontId="0" fillId="0" borderId="0">
      <alignment vertical="center"/>
    </xf>
    <xf numFmtId="0" fontId="0" fillId="0" borderId="0">
      <alignment vertical="center"/>
    </xf>
    <xf numFmtId="0" fontId="42" fillId="0" borderId="0">
      <alignment vertical="center"/>
    </xf>
    <xf numFmtId="0" fontId="42" fillId="0" borderId="0"/>
    <xf numFmtId="0" fontId="0" fillId="0" borderId="0">
      <alignment vertical="center"/>
    </xf>
    <xf numFmtId="0" fontId="43" fillId="0" borderId="0"/>
  </cellStyleXfs>
  <cellXfs count="154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/>
    <xf numFmtId="0" fontId="2" fillId="0" borderId="0" xfId="62" applyFont="1"/>
    <xf numFmtId="0" fontId="3" fillId="0" borderId="0" xfId="62" applyFont="1" applyAlignment="1">
      <alignment horizontal="center" vertical="center" wrapText="1"/>
    </xf>
    <xf numFmtId="0" fontId="4" fillId="0" borderId="1" xfId="62" applyFont="1" applyBorder="1" applyAlignment="1">
      <alignment horizontal="left" vertical="center" wrapText="1" indent="1"/>
    </xf>
    <xf numFmtId="0" fontId="5" fillId="0" borderId="2" xfId="62" applyFont="1" applyBorder="1" applyAlignment="1">
      <alignment horizontal="left" vertical="center" wrapText="1"/>
    </xf>
    <xf numFmtId="0" fontId="2" fillId="0" borderId="3" xfId="0" applyFont="1" applyBorder="1" applyAlignment="1"/>
    <xf numFmtId="0" fontId="2" fillId="0" borderId="2" xfId="0" applyFont="1" applyBorder="1" applyAlignment="1"/>
    <xf numFmtId="0" fontId="4" fillId="0" borderId="4" xfId="62" applyFont="1" applyBorder="1" applyAlignment="1">
      <alignment horizontal="left" vertical="center" wrapText="1" indent="1"/>
    </xf>
    <xf numFmtId="1" fontId="5" fillId="0" borderId="4" xfId="62" applyNumberFormat="1" applyFont="1" applyBorder="1" applyAlignment="1">
      <alignment horizontal="center" vertical="center" wrapText="1"/>
    </xf>
    <xf numFmtId="0" fontId="2" fillId="0" borderId="4" xfId="0" applyFont="1" applyBorder="1" applyAlignment="1"/>
    <xf numFmtId="0" fontId="5" fillId="0" borderId="4" xfId="62" applyFont="1" applyBorder="1" applyAlignment="1">
      <alignment horizontal="center" vertical="center" wrapText="1"/>
    </xf>
    <xf numFmtId="0" fontId="4" fillId="0" borderId="4" xfId="62" applyFont="1" applyBorder="1" applyAlignment="1">
      <alignment horizontal="center" vertical="center" wrapText="1"/>
    </xf>
    <xf numFmtId="0" fontId="6" fillId="0" borderId="4" xfId="6" applyFont="1" applyBorder="1" applyAlignment="1">
      <alignment horizontal="center" vertical="center" wrapText="1"/>
    </xf>
    <xf numFmtId="0" fontId="4" fillId="0" borderId="0" xfId="62" applyFont="1" applyBorder="1" applyAlignment="1">
      <alignment horizontal="left" vertical="center" wrapText="1" indent="1"/>
    </xf>
    <xf numFmtId="1" fontId="5" fillId="0" borderId="0" xfId="62" applyNumberFormat="1" applyFont="1" applyBorder="1" applyAlignment="1">
      <alignment horizontal="center" vertical="center" wrapText="1"/>
    </xf>
    <xf numFmtId="0" fontId="2" fillId="0" borderId="0" xfId="0" applyFont="1" applyBorder="1" applyAlignment="1"/>
    <xf numFmtId="0" fontId="5" fillId="0" borderId="0" xfId="62" applyFont="1" applyBorder="1" applyAlignment="1">
      <alignment horizontal="center" vertical="center" wrapText="1"/>
    </xf>
    <xf numFmtId="0" fontId="4" fillId="0" borderId="0" xfId="62" applyFont="1" applyBorder="1" applyAlignment="1">
      <alignment horizontal="center" vertical="center" wrapText="1"/>
    </xf>
    <xf numFmtId="0" fontId="6" fillId="0" borderId="0" xfId="6" applyFont="1" applyBorder="1" applyAlignment="1">
      <alignment horizontal="center" vertical="center" wrapText="1"/>
    </xf>
    <xf numFmtId="0" fontId="7" fillId="0" borderId="4" xfId="62" applyFont="1" applyBorder="1" applyAlignment="1">
      <alignment horizontal="center" vertical="center"/>
    </xf>
    <xf numFmtId="1" fontId="8" fillId="0" borderId="1" xfId="62" applyNumberFormat="1" applyFont="1" applyBorder="1" applyAlignment="1">
      <alignment horizontal="center" vertical="center"/>
    </xf>
    <xf numFmtId="1" fontId="8" fillId="0" borderId="2" xfId="62" applyNumberFormat="1" applyFont="1" applyBorder="1" applyAlignment="1">
      <alignment horizontal="center" vertical="center"/>
    </xf>
    <xf numFmtId="0" fontId="7" fillId="0" borderId="4" xfId="62" applyFont="1" applyBorder="1" applyAlignment="1">
      <alignment horizontal="center" vertical="center"/>
    </xf>
    <xf numFmtId="0" fontId="6" fillId="0" borderId="0" xfId="6" applyFont="1" applyAlignment="1">
      <alignment horizontal="center" vertical="center" wrapText="1"/>
    </xf>
    <xf numFmtId="0" fontId="5" fillId="0" borderId="0" xfId="62" applyFont="1" applyAlignment="1">
      <alignment horizontal="center" vertical="center" wrapText="1"/>
    </xf>
    <xf numFmtId="0" fontId="4" fillId="0" borderId="0" xfId="62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4" fontId="9" fillId="0" borderId="4" xfId="62" applyNumberFormat="1" applyFont="1" applyBorder="1" applyAlignment="1">
      <alignment horizontal="center" vertical="center"/>
    </xf>
    <xf numFmtId="1" fontId="1" fillId="0" borderId="0" xfId="0" applyNumberFormat="1" applyFont="1" applyAlignment="1"/>
    <xf numFmtId="176" fontId="1" fillId="0" borderId="0" xfId="0" applyNumberFormat="1" applyFont="1" applyAlignment="1"/>
    <xf numFmtId="0" fontId="7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14" fontId="9" fillId="2" borderId="4" xfId="0" applyNumberFormat="1" applyFont="1" applyFill="1" applyBorder="1" applyAlignment="1">
      <alignment horizontal="left" vertical="center"/>
    </xf>
    <xf numFmtId="14" fontId="9" fillId="2" borderId="0" xfId="0" applyNumberFormat="1" applyFont="1" applyFill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2" fillId="0" borderId="6" xfId="0" applyFont="1" applyBorder="1" applyAlignment="1"/>
    <xf numFmtId="14" fontId="9" fillId="2" borderId="4" xfId="0" applyNumberFormat="1" applyFont="1" applyFill="1" applyBorder="1" applyAlignment="1">
      <alignment horizontal="center" vertical="center"/>
    </xf>
    <xf numFmtId="0" fontId="10" fillId="0" borderId="0" xfId="81" applyFont="1" applyAlignment="1">
      <alignment vertical="center" wrapText="1"/>
    </xf>
    <xf numFmtId="0" fontId="10" fillId="0" borderId="0" xfId="81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77" fontId="7" fillId="3" borderId="4" xfId="0" applyNumberFormat="1" applyFont="1" applyFill="1" applyBorder="1" applyAlignment="1">
      <alignment horizontal="center" vertical="center"/>
    </xf>
    <xf numFmtId="178" fontId="9" fillId="2" borderId="8" xfId="0" applyNumberFormat="1" applyFont="1" applyFill="1" applyBorder="1" applyAlignment="1">
      <alignment horizontal="left" vertical="center"/>
    </xf>
    <xf numFmtId="0" fontId="8" fillId="0" borderId="0" xfId="81" applyFont="1" applyAlignment="1">
      <alignment vertical="center" wrapText="1"/>
    </xf>
    <xf numFmtId="177" fontId="7" fillId="3" borderId="8" xfId="0" applyNumberFormat="1" applyFont="1" applyFill="1" applyBorder="1" applyAlignment="1">
      <alignment horizontal="center" vertical="center"/>
    </xf>
    <xf numFmtId="179" fontId="9" fillId="2" borderId="4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180" fontId="9" fillId="2" borderId="4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62" applyFont="1" applyAlignment="1">
      <alignment horizontal="center" vertical="center" wrapText="1"/>
    </xf>
    <xf numFmtId="0" fontId="13" fillId="0" borderId="9" xfId="62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4" fillId="0" borderId="1" xfId="62" applyFont="1" applyBorder="1" applyAlignment="1">
      <alignment horizontal="left" vertical="center" wrapText="1"/>
    </xf>
    <xf numFmtId="14" fontId="5" fillId="0" borderId="2" xfId="62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5" fillId="0" borderId="2" xfId="62" applyFont="1" applyBorder="1" applyAlignment="1">
      <alignment horizontal="center" vertical="center" wrapText="1"/>
    </xf>
    <xf numFmtId="0" fontId="2" fillId="0" borderId="10" xfId="0" applyFont="1" applyBorder="1" applyAlignment="1"/>
    <xf numFmtId="0" fontId="5" fillId="0" borderId="0" xfId="62" applyFont="1" applyAlignment="1">
      <alignment horizontal="left" vertical="center" wrapText="1"/>
    </xf>
    <xf numFmtId="0" fontId="5" fillId="0" borderId="10" xfId="62" applyFont="1" applyBorder="1" applyAlignment="1">
      <alignment horizontal="left" vertical="center" wrapText="1"/>
    </xf>
    <xf numFmtId="0" fontId="4" fillId="4" borderId="1" xfId="62" applyFont="1" applyFill="1" applyBorder="1" applyAlignment="1">
      <alignment horizontal="center" vertical="center" wrapText="1"/>
    </xf>
    <xf numFmtId="0" fontId="4" fillId="4" borderId="11" xfId="62" applyFont="1" applyFill="1" applyBorder="1" applyAlignment="1">
      <alignment horizontal="center" vertical="center" wrapText="1"/>
    </xf>
    <xf numFmtId="0" fontId="4" fillId="4" borderId="4" xfId="62" applyFont="1" applyFill="1" applyBorder="1" applyAlignment="1">
      <alignment horizontal="center" vertical="center" wrapText="1"/>
    </xf>
    <xf numFmtId="0" fontId="4" fillId="4" borderId="7" xfId="62" applyFont="1" applyFill="1" applyBorder="1" applyAlignment="1">
      <alignment horizontal="center" vertical="center" wrapText="1"/>
    </xf>
    <xf numFmtId="181" fontId="15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0" borderId="12" xfId="0" applyFont="1" applyBorder="1" applyAlignment="1"/>
    <xf numFmtId="0" fontId="2" fillId="0" borderId="9" xfId="0" applyFont="1" applyBorder="1" applyAlignment="1"/>
    <xf numFmtId="0" fontId="2" fillId="0" borderId="8" xfId="0" applyFont="1" applyBorder="1" applyAlignment="1"/>
    <xf numFmtId="0" fontId="2" fillId="0" borderId="5" xfId="0" applyFont="1" applyBorder="1" applyAlignment="1"/>
    <xf numFmtId="0" fontId="2" fillId="0" borderId="0" xfId="0" applyFont="1" applyAlignment="1">
      <alignment horizontal="center" vertical="center"/>
    </xf>
    <xf numFmtId="0" fontId="0" fillId="2" borderId="4" xfId="62" applyFill="1" applyBorder="1"/>
    <xf numFmtId="0" fontId="14" fillId="2" borderId="4" xfId="62" applyFont="1" applyFill="1" applyBorder="1" applyAlignment="1">
      <alignment horizontal="left" vertical="center"/>
    </xf>
    <xf numFmtId="0" fontId="14" fillId="2" borderId="4" xfId="62" applyFont="1" applyFill="1" applyBorder="1" applyAlignment="1">
      <alignment horizontal="center" vertical="center" wrapText="1"/>
    </xf>
    <xf numFmtId="0" fontId="14" fillId="0" borderId="4" xfId="62" applyFont="1" applyBorder="1" applyAlignment="1">
      <alignment horizontal="left" vertical="center" wrapText="1"/>
    </xf>
    <xf numFmtId="0" fontId="14" fillId="2" borderId="4" xfId="62" applyFont="1" applyFill="1" applyBorder="1" applyAlignment="1">
      <alignment horizontal="left" vertical="center" wrapText="1"/>
    </xf>
    <xf numFmtId="0" fontId="14" fillId="2" borderId="4" xfId="62" applyFont="1" applyFill="1" applyBorder="1" applyAlignment="1">
      <alignment horizontal="center" vertical="center"/>
    </xf>
    <xf numFmtId="2" fontId="14" fillId="2" borderId="4" xfId="62" applyNumberFormat="1" applyFont="1" applyFill="1" applyBorder="1" applyAlignment="1">
      <alignment horizontal="center" vertical="center"/>
    </xf>
    <xf numFmtId="2" fontId="14" fillId="0" borderId="4" xfId="60" applyNumberFormat="1" applyFont="1" applyBorder="1" applyAlignment="1">
      <alignment horizontal="center" vertical="center"/>
    </xf>
    <xf numFmtId="0" fontId="14" fillId="0" borderId="4" xfId="60" applyFont="1" applyBorder="1" applyAlignment="1">
      <alignment horizontal="center" vertical="center"/>
    </xf>
    <xf numFmtId="182" fontId="14" fillId="2" borderId="4" xfId="62" applyNumberFormat="1" applyFont="1" applyFill="1" applyBorder="1" applyAlignment="1">
      <alignment horizontal="center" vertical="center"/>
    </xf>
    <xf numFmtId="179" fontId="14" fillId="0" borderId="4" xfId="60" applyNumberFormat="1" applyFont="1" applyBorder="1" applyAlignment="1">
      <alignment horizontal="center" vertical="center"/>
    </xf>
    <xf numFmtId="0" fontId="14" fillId="2" borderId="4" xfId="62" applyFont="1" applyFill="1" applyBorder="1" applyAlignment="1">
      <alignment horizontal="center" vertical="center"/>
    </xf>
    <xf numFmtId="1" fontId="14" fillId="0" borderId="4" xfId="60" applyNumberFormat="1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2" borderId="11" xfId="62" applyFont="1" applyFill="1" applyBorder="1"/>
    <xf numFmtId="0" fontId="0" fillId="2" borderId="11" xfId="62" applyFill="1" applyBorder="1"/>
    <xf numFmtId="0" fontId="2" fillId="2" borderId="4" xfId="62" applyFont="1" applyFill="1" applyBorder="1" applyAlignment="1">
      <alignment horizontal="center" vertical="center"/>
    </xf>
    <xf numFmtId="0" fontId="2" fillId="2" borderId="4" xfId="62" applyFont="1" applyFill="1" applyBorder="1" applyAlignment="1">
      <alignment horizontal="center" vertical="center"/>
    </xf>
    <xf numFmtId="0" fontId="16" fillId="2" borderId="4" xfId="62" applyFont="1" applyFill="1" applyBorder="1" applyAlignment="1">
      <alignment horizontal="center" vertical="center" wrapText="1"/>
    </xf>
    <xf numFmtId="0" fontId="5" fillId="0" borderId="4" xfId="60" applyFont="1" applyBorder="1" applyAlignment="1">
      <alignment horizontal="center" vertical="center" wrapText="1"/>
    </xf>
    <xf numFmtId="179" fontId="5" fillId="0" borderId="4" xfId="60" applyNumberFormat="1" applyFont="1" applyBorder="1" applyAlignment="1">
      <alignment horizontal="center" vertical="center" wrapText="1"/>
    </xf>
    <xf numFmtId="1" fontId="17" fillId="0" borderId="4" xfId="60" applyNumberFormat="1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11" xfId="62" applyFont="1" applyBorder="1"/>
    <xf numFmtId="0" fontId="2" fillId="0" borderId="13" xfId="0" applyFont="1" applyBorder="1" applyAlignment="1"/>
    <xf numFmtId="2" fontId="18" fillId="0" borderId="8" xfId="62" applyNumberFormat="1" applyFont="1" applyBorder="1" applyAlignment="1">
      <alignment horizontal="center" vertical="center"/>
    </xf>
    <xf numFmtId="0" fontId="2" fillId="0" borderId="4" xfId="62" applyFont="1" applyBorder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11" xfId="62" applyFont="1" applyBorder="1" applyAlignment="1">
      <alignment horizontal="center" vertical="center"/>
    </xf>
    <xf numFmtId="10" fontId="18" fillId="0" borderId="4" xfId="62" applyNumberFormat="1" applyFont="1" applyBorder="1" applyAlignment="1">
      <alignment horizontal="center" vertical="center"/>
    </xf>
    <xf numFmtId="0" fontId="2" fillId="0" borderId="4" xfId="62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9" fillId="0" borderId="1" xfId="62" applyFont="1" applyBorder="1" applyAlignment="1">
      <alignment horizontal="right" vertical="center" wrapText="1"/>
    </xf>
    <xf numFmtId="183" fontId="14" fillId="0" borderId="4" xfId="62" applyNumberFormat="1" applyFont="1" applyBorder="1" applyAlignment="1">
      <alignment horizontal="center" vertical="center"/>
    </xf>
    <xf numFmtId="0" fontId="2" fillId="0" borderId="1" xfId="62" applyFont="1" applyBorder="1"/>
    <xf numFmtId="2" fontId="14" fillId="0" borderId="4" xfId="62" applyNumberFormat="1" applyFont="1" applyBorder="1" applyAlignment="1">
      <alignment horizontal="center" vertical="center"/>
    </xf>
    <xf numFmtId="0" fontId="14" fillId="0" borderId="4" xfId="62" applyFont="1" applyBorder="1" applyAlignment="1">
      <alignment horizontal="center" vertical="center"/>
    </xf>
    <xf numFmtId="179" fontId="14" fillId="0" borderId="4" xfId="62" applyNumberFormat="1" applyFont="1" applyBorder="1" applyAlignment="1">
      <alignment horizontal="center" vertical="center"/>
    </xf>
    <xf numFmtId="0" fontId="2" fillId="0" borderId="4" xfId="62" applyFont="1" applyBorder="1"/>
    <xf numFmtId="0" fontId="14" fillId="0" borderId="0" xfId="0" applyFont="1" applyAlignment="1">
      <alignment horizontal="center" vertical="center"/>
    </xf>
    <xf numFmtId="0" fontId="13" fillId="0" borderId="4" xfId="62" applyFont="1" applyBorder="1" applyAlignment="1">
      <alignment horizontal="right" vertical="center" wrapText="1"/>
    </xf>
    <xf numFmtId="0" fontId="13" fillId="0" borderId="4" xfId="62" applyFont="1" applyBorder="1" applyAlignment="1">
      <alignment horizontal="left" vertical="center" wrapText="1"/>
    </xf>
    <xf numFmtId="0" fontId="13" fillId="0" borderId="0" xfId="62" applyFont="1" applyAlignment="1">
      <alignment horizontal="right" vertical="center" wrapText="1"/>
    </xf>
    <xf numFmtId="0" fontId="13" fillId="0" borderId="0" xfId="62" applyFont="1" applyAlignment="1">
      <alignment horizontal="left" vertical="center" wrapText="1"/>
    </xf>
    <xf numFmtId="0" fontId="13" fillId="0" borderId="1" xfId="62" applyFont="1" applyBorder="1" applyAlignment="1">
      <alignment horizontal="left" vertical="center" wrapText="1" indent="1"/>
    </xf>
    <xf numFmtId="15" fontId="18" fillId="0" borderId="2" xfId="62" applyNumberFormat="1" applyFont="1" applyBorder="1" applyAlignment="1">
      <alignment horizontal="center" vertical="center"/>
    </xf>
    <xf numFmtId="0" fontId="18" fillId="0" borderId="2" xfId="62" applyFont="1" applyBorder="1" applyAlignment="1">
      <alignment horizontal="center" vertical="center" wrapText="1"/>
    </xf>
    <xf numFmtId="0" fontId="20" fillId="0" borderId="11" xfId="62" applyFont="1" applyBorder="1" applyAlignment="1">
      <alignment horizontal="left" vertical="center"/>
    </xf>
    <xf numFmtId="0" fontId="20" fillId="0" borderId="13" xfId="62" applyFont="1" applyBorder="1" applyAlignment="1">
      <alignment horizontal="left" vertical="center"/>
    </xf>
    <xf numFmtId="0" fontId="20" fillId="0" borderId="14" xfId="62" applyFont="1" applyBorder="1" applyAlignment="1">
      <alignment horizontal="left" vertical="center"/>
    </xf>
    <xf numFmtId="0" fontId="18" fillId="0" borderId="2" xfId="62" applyFont="1" applyBorder="1" applyAlignment="1">
      <alignment horizontal="center" vertical="center"/>
    </xf>
    <xf numFmtId="0" fontId="18" fillId="0" borderId="9" xfId="62" applyFont="1" applyBorder="1" applyAlignment="1">
      <alignment horizontal="left" vertical="center"/>
    </xf>
    <xf numFmtId="0" fontId="18" fillId="0" borderId="15" xfId="62" applyFont="1" applyBorder="1" applyAlignment="1">
      <alignment horizontal="center" vertical="center"/>
    </xf>
    <xf numFmtId="0" fontId="18" fillId="0" borderId="0" xfId="62" applyFont="1" applyAlignment="1">
      <alignment horizontal="left" vertical="center"/>
    </xf>
    <xf numFmtId="0" fontId="18" fillId="0" borderId="12" xfId="62" applyFont="1" applyBorder="1" applyAlignment="1">
      <alignment horizontal="left" vertical="center"/>
    </xf>
    <xf numFmtId="0" fontId="18" fillId="0" borderId="6" xfId="62" applyFont="1" applyBorder="1" applyAlignment="1">
      <alignment vertical="center"/>
    </xf>
    <xf numFmtId="0" fontId="4" fillId="0" borderId="0" xfId="62" applyFont="1" applyAlignment="1">
      <alignment horizontal="left" vertical="center" wrapText="1" indent="2"/>
    </xf>
    <xf numFmtId="0" fontId="18" fillId="0" borderId="0" xfId="62" applyFont="1" applyAlignment="1">
      <alignment horizontal="center" vertical="center"/>
    </xf>
    <xf numFmtId="0" fontId="18" fillId="0" borderId="0" xfId="62" applyFont="1" applyAlignment="1">
      <alignment vertical="center"/>
    </xf>
    <xf numFmtId="0" fontId="13" fillId="0" borderId="1" xfId="62" applyFont="1" applyBorder="1" applyAlignment="1">
      <alignment horizontal="center" vertical="top" wrapText="1"/>
    </xf>
    <xf numFmtId="0" fontId="18" fillId="0" borderId="14" xfId="62" applyFont="1" applyBorder="1" applyAlignment="1">
      <alignment horizontal="center" vertical="center"/>
    </xf>
    <xf numFmtId="0" fontId="2" fillId="0" borderId="14" xfId="0" applyFont="1" applyBorder="1" applyAlignment="1"/>
    <xf numFmtId="0" fontId="2" fillId="0" borderId="15" xfId="0" applyFont="1" applyBorder="1" applyAlignment="1"/>
    <xf numFmtId="0" fontId="18" fillId="0" borderId="6" xfId="62" applyFont="1" applyBorder="1" applyAlignment="1">
      <alignment horizontal="center" vertical="center"/>
    </xf>
    <xf numFmtId="0" fontId="5" fillId="0" borderId="0" xfId="62" applyFont="1" applyAlignment="1">
      <alignment vertical="center" wrapText="1"/>
    </xf>
    <xf numFmtId="0" fontId="21" fillId="0" borderId="0" xfId="62" applyFont="1" applyAlignment="1">
      <alignment vertical="center" wrapText="1"/>
    </xf>
    <xf numFmtId="0" fontId="4" fillId="0" borderId="0" xfId="62" applyFont="1" applyAlignment="1">
      <alignment vertical="center" wrapText="1"/>
    </xf>
    <xf numFmtId="0" fontId="4" fillId="0" borderId="0" xfId="62" applyFont="1" applyAlignment="1">
      <alignment horizontal="left" vertical="center" wrapText="1"/>
    </xf>
    <xf numFmtId="0" fontId="2" fillId="0" borderId="0" xfId="62" applyFont="1" applyAlignment="1">
      <alignment horizontal="center" vertical="center"/>
    </xf>
    <xf numFmtId="0" fontId="4" fillId="0" borderId="0" xfId="62" applyFont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0" xfId="62" applyFont="1" applyAlignment="1" quotePrefix="1">
      <alignment horizontal="left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5 2" xfId="50"/>
    <cellStyle name="常规 3 2 2" xfId="51"/>
    <cellStyle name="常规 8 2" xfId="52"/>
    <cellStyle name="常规 2 2 2" xfId="53"/>
    <cellStyle name="常规 3 2" xfId="54"/>
    <cellStyle name="常规 2 2 2 3" xfId="55"/>
    <cellStyle name="Normal 2" xfId="56"/>
    <cellStyle name="常规 2 2" xfId="57"/>
    <cellStyle name="Normal 3" xfId="58"/>
    <cellStyle name="常规 2 3" xfId="59"/>
    <cellStyle name="Normal 4" xfId="60"/>
    <cellStyle name="Normal 4 2" xfId="61"/>
    <cellStyle name="Normal" xfId="62"/>
    <cellStyle name="S10" xfId="63"/>
    <cellStyle name="常规 2" xfId="64"/>
    <cellStyle name="常规 2 2 2 2 2" xfId="65"/>
    <cellStyle name="常规 2 4" xfId="66"/>
    <cellStyle name="常规 3" xfId="67"/>
    <cellStyle name="常规 3 2 3" xfId="68"/>
    <cellStyle name="常规 3 3" xfId="69"/>
    <cellStyle name="常规 3 4" xfId="70"/>
    <cellStyle name="常规 3 5" xfId="71"/>
    <cellStyle name="常规 3 6" xfId="72"/>
    <cellStyle name="常规 3 6 2" xfId="73"/>
    <cellStyle name="常规 4" xfId="74"/>
    <cellStyle name="常规 4 2" xfId="75"/>
    <cellStyle name="常规 4 2 2" xfId="76"/>
    <cellStyle name="常规 4 3" xfId="77"/>
    <cellStyle name="常规 5" xfId="78"/>
    <cellStyle name="常规 7" xfId="79"/>
    <cellStyle name="常规 8" xfId="80"/>
    <cellStyle name="常规_PI" xfId="8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304800</xdr:colOff>
      <xdr:row>46</xdr:row>
      <xdr:rowOff>123825</xdr:rowOff>
    </xdr:from>
    <xdr:to>
      <xdr:col>11</xdr:col>
      <xdr:colOff>615950</xdr:colOff>
      <xdr:row>55</xdr:row>
      <xdr:rowOff>26670</xdr:rowOff>
    </xdr:to>
    <xdr:pic>
      <xdr:nvPicPr>
        <xdr:cNvPr id="3" name="图片 2" descr="img0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03080" y="19713575"/>
          <a:ext cx="1350010" cy="14408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405130</xdr:colOff>
      <xdr:row>21</xdr:row>
      <xdr:rowOff>127000</xdr:rowOff>
    </xdr:from>
    <xdr:to>
      <xdr:col>0</xdr:col>
      <xdr:colOff>1329690</xdr:colOff>
      <xdr:row>21</xdr:row>
      <xdr:rowOff>1251585</xdr:rowOff>
    </xdr:to>
    <xdr:pic>
      <xdr:nvPicPr>
        <xdr:cNvPr id="2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5130" y="7645400"/>
          <a:ext cx="924560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353060</xdr:colOff>
      <xdr:row>22</xdr:row>
      <xdr:rowOff>123190</xdr:rowOff>
    </xdr:from>
    <xdr:to>
      <xdr:col>0</xdr:col>
      <xdr:colOff>1180465</xdr:colOff>
      <xdr:row>22</xdr:row>
      <xdr:rowOff>1256030</xdr:rowOff>
    </xdr:to>
    <xdr:pic>
      <xdr:nvPicPr>
        <xdr:cNvPr id="4" name="图片 3" descr="yizi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3060" y="8975090"/>
          <a:ext cx="827405" cy="1132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353060</xdr:colOff>
      <xdr:row>23</xdr:row>
      <xdr:rowOff>123190</xdr:rowOff>
    </xdr:from>
    <xdr:to>
      <xdr:col>0</xdr:col>
      <xdr:colOff>1180465</xdr:colOff>
      <xdr:row>23</xdr:row>
      <xdr:rowOff>1256030</xdr:rowOff>
    </xdr:to>
    <xdr:pic>
      <xdr:nvPicPr>
        <xdr:cNvPr id="5" name="图片 4" descr="yizi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3060" y="10257790"/>
          <a:ext cx="827405" cy="112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325755</xdr:colOff>
      <xdr:row>24</xdr:row>
      <xdr:rowOff>106045</xdr:rowOff>
    </xdr:from>
    <xdr:to>
      <xdr:col>0</xdr:col>
      <xdr:colOff>1153160</xdr:colOff>
      <xdr:row>24</xdr:row>
      <xdr:rowOff>1238885</xdr:rowOff>
    </xdr:to>
    <xdr:pic>
      <xdr:nvPicPr>
        <xdr:cNvPr id="6" name="图片 1" descr="yizi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755" y="11485245"/>
          <a:ext cx="827405" cy="1132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318770</xdr:colOff>
      <xdr:row>25</xdr:row>
      <xdr:rowOff>87630</xdr:rowOff>
    </xdr:from>
    <xdr:to>
      <xdr:col>0</xdr:col>
      <xdr:colOff>1258570</xdr:colOff>
      <xdr:row>25</xdr:row>
      <xdr:rowOff>1132840</xdr:rowOff>
    </xdr:to>
    <xdr:pic>
      <xdr:nvPicPr>
        <xdr:cNvPr id="7" name="图片 3" descr="QQ截图202112011118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8770" y="12774930"/>
          <a:ext cx="939800" cy="1045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366395</xdr:colOff>
      <xdr:row>26</xdr:row>
      <xdr:rowOff>104775</xdr:rowOff>
    </xdr:from>
    <xdr:to>
      <xdr:col>0</xdr:col>
      <xdr:colOff>1347470</xdr:colOff>
      <xdr:row>26</xdr:row>
      <xdr:rowOff>1171575</xdr:rowOff>
    </xdr:to>
    <xdr:pic>
      <xdr:nvPicPr>
        <xdr:cNvPr id="9" name="图片 2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6395" y="13973175"/>
          <a:ext cx="981075" cy="106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ivory@dyfurniture.net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5" sqref="D15"/>
    </sheetView>
  </sheetViews>
  <sheetFormatPr defaultColWidth="11" defaultRowHeight="14" outlineLevelRow="3" outlineLevelCol="2"/>
  <cols>
    <col min="1" max="1" width="29.3727272727273" customWidth="1"/>
  </cols>
  <sheetData>
    <row r="1" ht="58" customHeight="1" spans="1:3">
      <c r="A1" s="153" t="s">
        <v>0</v>
      </c>
      <c r="C1" t="s">
        <v>1</v>
      </c>
    </row>
    <row r="2" ht="57" customHeight="1" spans="1:3">
      <c r="A2" s="153" t="s">
        <v>2</v>
      </c>
      <c r="C2" t="s">
        <v>3</v>
      </c>
    </row>
    <row r="3" ht="52" customHeight="1" spans="1:3">
      <c r="A3" s="153" t="s">
        <v>4</v>
      </c>
    </row>
    <row r="4" ht="52" customHeight="1" spans="1:3">
      <c r="A4" s="153" t="s">
        <v>5</v>
      </c>
    </row>
  </sheetData>
  <pageMargins left="0.699305555555556" right="0.699305555555556" top="0.786805555555556" bottom="0.786805555555556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61"/>
  <sheetViews>
    <sheetView tabSelected="1" zoomScale="85" zoomScaleNormal="85" workbookViewId="0">
      <selection activeCell="D26" sqref="D26"/>
    </sheetView>
  </sheetViews>
  <sheetFormatPr defaultColWidth="9" defaultRowHeight="14"/>
  <cols>
    <col min="1" max="1" width="24.8090909090909" style="3" customWidth="1"/>
    <col min="2" max="2" width="14.1181818181818" style="3" customWidth="1"/>
    <col min="3" max="3" width="15.8181818181818" style="3" customWidth="1"/>
    <col min="4" max="4" width="25.3727272727273" style="3" customWidth="1"/>
    <col min="5" max="5" width="15.3727272727273" style="3" customWidth="1"/>
    <col min="6" max="6" width="7.25454545454545" style="3" customWidth="1"/>
    <col min="7" max="7" width="8.25454545454545" style="3" customWidth="1"/>
    <col min="8" max="8" width="8.62727272727273" style="3" customWidth="1"/>
    <col min="9" max="9" width="10.6272727272727" style="3" customWidth="1"/>
    <col min="10" max="10" width="6.87272727272727" style="3" customWidth="1"/>
    <col min="11" max="11" width="8" style="3" customWidth="1"/>
    <col min="12" max="12" width="10.7545454545455" style="3" customWidth="1"/>
    <col min="13" max="13" width="9.87272727272727" style="3" customWidth="1"/>
    <col min="14" max="14" width="16.4545454545455" style="3" customWidth="1"/>
    <col min="15" max="15" width="13.5" style="3" customWidth="1"/>
    <col min="16" max="16384" width="9" style="3"/>
  </cols>
  <sheetData>
    <row r="1" ht="43.5" customHeight="1" spans="1:256">
      <c r="A1" s="6" t="s">
        <v>6</v>
      </c>
    </row>
    <row r="2" ht="18" customHeight="1" spans="1:256">
      <c r="A2" s="7" t="s">
        <v>7</v>
      </c>
      <c r="B2" s="8" t="s">
        <v>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ht="18" customHeight="1" spans="1:256">
      <c r="A3" s="11" t="s">
        <v>9</v>
      </c>
      <c r="B3" s="12" t="s">
        <v>10</v>
      </c>
      <c r="C3" s="13"/>
      <c r="D3" s="14"/>
      <c r="E3" s="15" t="s">
        <v>11</v>
      </c>
      <c r="F3" s="16" t="s">
        <v>12</v>
      </c>
      <c r="G3" s="13"/>
      <c r="H3" s="13"/>
      <c r="I3" s="14"/>
      <c r="J3" s="13"/>
      <c r="K3" s="13"/>
      <c r="L3" s="13"/>
      <c r="M3" s="15" t="s">
        <v>13</v>
      </c>
      <c r="N3" s="14"/>
    </row>
    <row r="4" ht="18" customHeight="1" spans="1:256">
      <c r="A4" s="17"/>
      <c r="B4" s="18"/>
      <c r="C4" s="19"/>
      <c r="D4" s="20"/>
      <c r="E4" s="21"/>
      <c r="F4" s="22"/>
      <c r="G4" s="19"/>
      <c r="H4" s="19"/>
      <c r="I4" s="20"/>
      <c r="J4" s="19"/>
      <c r="K4" s="19"/>
      <c r="L4" s="19"/>
      <c r="M4" s="21"/>
      <c r="N4" s="20"/>
    </row>
    <row r="5" ht="34" customHeight="1" spans="1:256">
      <c r="A5" s="23" t="s">
        <v>14</v>
      </c>
      <c r="B5" s="24" t="s">
        <v>15</v>
      </c>
      <c r="C5" s="25"/>
      <c r="D5" s="26" t="s">
        <v>16</v>
      </c>
      <c r="E5" s="15"/>
      <c r="F5" s="27"/>
      <c r="I5" s="28"/>
      <c r="M5" s="29"/>
      <c r="N5" s="28"/>
    </row>
    <row r="6" s="1" customFormat="1" ht="28" customHeight="1" spans="1:256">
      <c r="A6" s="30" t="s">
        <v>17</v>
      </c>
      <c r="B6" s="31" t="s">
        <v>15</v>
      </c>
      <c r="C6" s="10"/>
      <c r="D6" s="26" t="s">
        <v>18</v>
      </c>
      <c r="E6" s="32" t="s">
        <v>15</v>
      </c>
      <c r="F6" s="28"/>
      <c r="G6" s="33"/>
      <c r="H6" s="34"/>
      <c r="I6" s="34"/>
      <c r="J6" s="34"/>
      <c r="K6" s="34"/>
      <c r="L6" s="1"/>
      <c r="M6" s="1"/>
      <c r="N6" s="1"/>
      <c r="IO6" s="3"/>
      <c r="IP6" s="3"/>
      <c r="IQ6" s="3"/>
      <c r="IR6" s="3"/>
      <c r="IS6" s="3"/>
      <c r="IT6" s="3"/>
      <c r="IU6" s="3"/>
      <c r="IV6" s="3"/>
    </row>
    <row r="7" s="2" customFormat="1" ht="30" customHeight="1" spans="1:256">
      <c r="A7" s="35" t="s">
        <v>19</v>
      </c>
      <c r="B7" s="36" t="s">
        <v>15</v>
      </c>
      <c r="C7" s="10"/>
      <c r="D7" s="35" t="s">
        <v>20</v>
      </c>
      <c r="E7" s="37" t="s">
        <v>21</v>
      </c>
      <c r="F7" s="38"/>
      <c r="G7" s="33"/>
      <c r="H7" s="34"/>
      <c r="I7" s="34"/>
      <c r="J7" s="34"/>
      <c r="K7" s="3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3"/>
      <c r="IP7" s="3"/>
      <c r="IQ7" s="3"/>
      <c r="IR7" s="3"/>
      <c r="IS7" s="3"/>
      <c r="IT7" s="3"/>
      <c r="IU7" s="3"/>
      <c r="IV7" s="3"/>
    </row>
    <row r="8" s="2" customFormat="1" ht="31" customHeight="1" spans="1:256">
      <c r="A8" s="35" t="s">
        <v>22</v>
      </c>
      <c r="B8" s="39" t="s">
        <v>15</v>
      </c>
      <c r="C8" s="40"/>
      <c r="D8" s="35" t="s">
        <v>15</v>
      </c>
      <c r="E8" s="41" t="s">
        <v>15</v>
      </c>
      <c r="F8" s="38"/>
      <c r="G8" s="42"/>
      <c r="H8" s="42"/>
      <c r="I8" s="42"/>
      <c r="J8" s="42"/>
      <c r="K8" s="42"/>
      <c r="L8" s="42"/>
      <c r="M8" s="42"/>
      <c r="N8" s="4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="2" customFormat="1" ht="31" customHeight="1" spans="1:256">
      <c r="A9" s="44" t="s">
        <v>23</v>
      </c>
      <c r="B9" s="45" t="s">
        <v>15</v>
      </c>
      <c r="C9" s="10"/>
      <c r="D9" s="46"/>
      <c r="E9" s="47"/>
      <c r="F9" s="42"/>
      <c r="G9" s="42"/>
      <c r="H9" s="42"/>
      <c r="I9" s="42"/>
      <c r="J9" s="42"/>
      <c r="K9" s="42"/>
      <c r="L9" s="42"/>
      <c r="M9" s="42"/>
      <c r="N9" s="4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="3" customFormat="1" ht="30" customHeight="1" spans="1:256">
      <c r="A10" s="48" t="s">
        <v>24</v>
      </c>
      <c r="B10" s="49">
        <f>J31</f>
        <v>244</v>
      </c>
      <c r="C10" s="40"/>
      <c r="D10" s="47"/>
      <c r="E10" s="47"/>
      <c r="F10" s="50"/>
      <c r="G10" s="50"/>
      <c r="H10" s="50"/>
      <c r="I10" s="50"/>
      <c r="J10" s="43"/>
      <c r="K10" s="43"/>
      <c r="L10" s="43"/>
      <c r="M10" s="43"/>
      <c r="N10" s="43"/>
    </row>
    <row r="11" s="3" customFormat="1" ht="30" customHeight="1" spans="1:256">
      <c r="A11" s="51" t="s">
        <v>25</v>
      </c>
      <c r="B11" s="52">
        <f>R31</f>
        <v>5592.2</v>
      </c>
      <c r="C11" s="10"/>
      <c r="D11" s="53"/>
      <c r="E11" s="53"/>
      <c r="F11" s="50"/>
      <c r="G11" s="50"/>
      <c r="H11" s="50"/>
      <c r="I11" s="50"/>
      <c r="J11" s="43"/>
      <c r="K11" s="43"/>
      <c r="L11" s="43"/>
      <c r="M11" s="43"/>
      <c r="N11" s="43"/>
    </row>
    <row r="12" s="3" customFormat="1" ht="30" customHeight="1" spans="1:256">
      <c r="A12" s="48" t="s">
        <v>26</v>
      </c>
      <c r="B12" s="54">
        <f>P31</f>
        <v>4700.5</v>
      </c>
      <c r="C12" s="10"/>
      <c r="D12" s="53"/>
      <c r="E12" s="53"/>
      <c r="F12" s="50"/>
      <c r="G12" s="50"/>
      <c r="H12" s="50"/>
      <c r="I12" s="50"/>
      <c r="J12" s="43"/>
      <c r="K12" s="43"/>
      <c r="L12" s="43"/>
      <c r="M12" s="43"/>
      <c r="N12" s="43"/>
    </row>
    <row r="13" s="3" customFormat="1" ht="30" customHeight="1" spans="1:256">
      <c r="A13" s="48" t="s">
        <v>27</v>
      </c>
      <c r="B13" s="54">
        <f>L31</f>
        <v>63.704</v>
      </c>
      <c r="C13" s="10"/>
      <c r="D13" s="53"/>
      <c r="E13" s="53"/>
      <c r="F13" s="50"/>
      <c r="G13" s="50"/>
      <c r="H13" s="50"/>
      <c r="I13" s="50"/>
      <c r="J13" s="43"/>
      <c r="K13" s="43"/>
      <c r="L13" s="43"/>
      <c r="M13" s="43"/>
      <c r="N13" s="43"/>
    </row>
    <row r="14" s="3" customFormat="1" ht="30" customHeight="1" spans="1:256">
      <c r="A14" s="48" t="s">
        <v>27</v>
      </c>
      <c r="B14" s="54">
        <f>L31</f>
        <v>63.704</v>
      </c>
      <c r="C14" s="10"/>
      <c r="D14" s="55"/>
      <c r="E14" s="55"/>
      <c r="F14" s="50"/>
      <c r="G14" s="50"/>
      <c r="H14" s="50"/>
      <c r="I14" s="50"/>
      <c r="J14" s="43"/>
      <c r="K14" s="43"/>
      <c r="L14" s="43"/>
      <c r="M14" s="43"/>
      <c r="N14" s="43"/>
    </row>
    <row r="15" ht="21" customHeight="1" spans="1:256">
      <c r="A15" s="56" t="s">
        <v>28</v>
      </c>
    </row>
    <row r="16" ht="30" customHeight="1" spans="1:256">
      <c r="A16" s="57" t="s">
        <v>29</v>
      </c>
      <c r="B16" s="58" t="s">
        <v>30</v>
      </c>
      <c r="L16" s="59" t="s">
        <v>31</v>
      </c>
      <c r="M16" s="60" t="s">
        <v>32</v>
      </c>
      <c r="N16" s="10"/>
    </row>
    <row r="17" ht="30" customHeight="1" spans="1:20">
      <c r="A17" s="61"/>
      <c r="L17" s="59" t="s">
        <v>33</v>
      </c>
      <c r="M17" s="62" t="s">
        <v>34</v>
      </c>
      <c r="N17" s="10"/>
    </row>
    <row r="18" ht="30" customHeight="1" spans="1:20">
      <c r="L18" s="59" t="s">
        <v>35</v>
      </c>
      <c r="M18" s="62" t="s">
        <v>36</v>
      </c>
      <c r="N18" s="10"/>
    </row>
    <row r="19" ht="18" customHeight="1" spans="1:20">
      <c r="F19" s="63"/>
      <c r="G19" s="63"/>
      <c r="H19" s="63"/>
      <c r="I19" s="63"/>
      <c r="J19" s="64"/>
      <c r="K19" s="65"/>
      <c r="L19" s="63"/>
      <c r="M19" s="63"/>
      <c r="N19" s="63"/>
    </row>
    <row r="20" ht="19.5" customHeight="1" spans="1:20">
      <c r="A20" s="66" t="s">
        <v>37</v>
      </c>
      <c r="B20" s="67" t="s">
        <v>38</v>
      </c>
      <c r="C20" s="67" t="s">
        <v>39</v>
      </c>
      <c r="D20" s="67" t="s">
        <v>40</v>
      </c>
      <c r="E20" s="67" t="s">
        <v>41</v>
      </c>
      <c r="F20" s="67" t="s">
        <v>42</v>
      </c>
      <c r="G20" s="67" t="s">
        <v>43</v>
      </c>
      <c r="H20" s="67" t="s">
        <v>44</v>
      </c>
      <c r="I20" s="67" t="s">
        <v>45</v>
      </c>
      <c r="J20" s="67" t="s">
        <v>46</v>
      </c>
      <c r="K20" s="67" t="s">
        <v>46</v>
      </c>
      <c r="L20" s="67" t="s">
        <v>47</v>
      </c>
      <c r="M20" s="68" t="s">
        <v>48</v>
      </c>
      <c r="N20" s="69" t="s">
        <v>49</v>
      </c>
      <c r="O20" s="70" t="s">
        <v>50</v>
      </c>
      <c r="P20" s="70" t="s">
        <v>51</v>
      </c>
      <c r="Q20" s="70" t="s">
        <v>52</v>
      </c>
      <c r="R20" s="70" t="s">
        <v>53</v>
      </c>
      <c r="S20" s="71"/>
      <c r="T20" s="72"/>
    </row>
    <row r="21" ht="42" customHeight="1" spans="1:20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67" t="s">
        <v>54</v>
      </c>
      <c r="L21" s="67" t="s">
        <v>54</v>
      </c>
      <c r="M21" s="75"/>
      <c r="N21" s="76"/>
      <c r="O21" s="75"/>
      <c r="P21" s="75"/>
      <c r="Q21" s="75"/>
      <c r="R21" s="75"/>
      <c r="S21" s="77"/>
    </row>
    <row r="22" s="4" customFormat="1" ht="105" customHeight="1" spans="1:20">
      <c r="A22" s="78"/>
      <c r="B22" s="79" t="s">
        <v>55</v>
      </c>
      <c r="C22" s="80" t="s">
        <v>56</v>
      </c>
      <c r="D22" s="81" t="s">
        <v>57</v>
      </c>
      <c r="E22" s="82" t="s">
        <v>58</v>
      </c>
      <c r="F22" s="83">
        <v>114</v>
      </c>
      <c r="G22" s="84">
        <v>33</v>
      </c>
      <c r="H22" s="85">
        <f t="shared" ref="H22:H27" si="0">F22*G22</f>
        <v>3762</v>
      </c>
      <c r="I22" s="83">
        <v>2</v>
      </c>
      <c r="J22" s="86">
        <f t="shared" ref="J22:J27" si="1">F22/I22</f>
        <v>57</v>
      </c>
      <c r="K22" s="87">
        <v>0.136</v>
      </c>
      <c r="L22" s="88">
        <f t="shared" ref="L22:L27" si="2">F22*K22</f>
        <v>15.504</v>
      </c>
      <c r="M22" s="89" t="s">
        <v>59</v>
      </c>
      <c r="N22" s="90">
        <v>9010985001559</v>
      </c>
      <c r="O22" s="91">
        <v>10.35</v>
      </c>
      <c r="P22" s="91">
        <f t="shared" ref="P22:P27" si="3">O22*F22</f>
        <v>1179.9</v>
      </c>
      <c r="Q22" s="91">
        <v>11.5</v>
      </c>
      <c r="R22" s="92">
        <f t="shared" ref="R22:R27" si="4">Q22*F22</f>
        <v>1311</v>
      </c>
      <c r="S22" s="93" t="s">
        <v>60</v>
      </c>
    </row>
    <row r="23" s="4" customFormat="1" ht="101" customHeight="1" spans="1:20">
      <c r="A23" s="94"/>
      <c r="B23" s="79" t="s">
        <v>61</v>
      </c>
      <c r="C23" s="80" t="s">
        <v>62</v>
      </c>
      <c r="D23" s="81" t="s">
        <v>63</v>
      </c>
      <c r="E23" s="82" t="s">
        <v>64</v>
      </c>
      <c r="F23" s="83">
        <v>74</v>
      </c>
      <c r="G23" s="84">
        <v>33</v>
      </c>
      <c r="H23" s="85">
        <f t="shared" si="0"/>
        <v>2442</v>
      </c>
      <c r="I23" s="83">
        <v>2</v>
      </c>
      <c r="J23" s="86">
        <f t="shared" si="1"/>
        <v>37</v>
      </c>
      <c r="K23" s="87">
        <v>0.125</v>
      </c>
      <c r="L23" s="88">
        <f t="shared" si="2"/>
        <v>9.25</v>
      </c>
      <c r="M23" s="89" t="s">
        <v>65</v>
      </c>
      <c r="N23" s="90">
        <v>9010585393511</v>
      </c>
      <c r="O23" s="91">
        <v>9.4</v>
      </c>
      <c r="P23" s="91">
        <f t="shared" si="3"/>
        <v>695.6</v>
      </c>
      <c r="Q23" s="91">
        <v>11.3</v>
      </c>
      <c r="R23" s="92">
        <f t="shared" si="4"/>
        <v>836.2</v>
      </c>
      <c r="S23" s="93" t="s">
        <v>66</v>
      </c>
    </row>
    <row r="24" s="4" customFormat="1" ht="98" customHeight="1" spans="1:20">
      <c r="A24" s="94"/>
      <c r="B24" s="79" t="s">
        <v>67</v>
      </c>
      <c r="C24" s="80" t="s">
        <v>62</v>
      </c>
      <c r="D24" s="81" t="s">
        <v>68</v>
      </c>
      <c r="E24" s="82" t="s">
        <v>64</v>
      </c>
      <c r="F24" s="83">
        <v>50</v>
      </c>
      <c r="G24" s="84">
        <v>33</v>
      </c>
      <c r="H24" s="85">
        <f t="shared" si="0"/>
        <v>1650</v>
      </c>
      <c r="I24" s="83">
        <v>2</v>
      </c>
      <c r="J24" s="86">
        <f t="shared" si="1"/>
        <v>25</v>
      </c>
      <c r="K24" s="87">
        <v>0.125</v>
      </c>
      <c r="L24" s="88">
        <f t="shared" si="2"/>
        <v>6.25</v>
      </c>
      <c r="M24" s="89" t="s">
        <v>65</v>
      </c>
      <c r="N24" s="90">
        <v>9010585393528</v>
      </c>
      <c r="O24" s="91">
        <v>9.4</v>
      </c>
      <c r="P24" s="91">
        <f t="shared" si="3"/>
        <v>470</v>
      </c>
      <c r="Q24" s="91">
        <v>11.3</v>
      </c>
      <c r="R24" s="92">
        <f t="shared" si="4"/>
        <v>565</v>
      </c>
      <c r="S24" s="93" t="s">
        <v>69</v>
      </c>
    </row>
    <row r="25" s="4" customFormat="1" ht="103" customHeight="1" spans="1:20">
      <c r="A25" s="95"/>
      <c r="B25" s="79" t="s">
        <v>70</v>
      </c>
      <c r="C25" s="80" t="s">
        <v>62</v>
      </c>
      <c r="D25" s="81" t="s">
        <v>71</v>
      </c>
      <c r="E25" s="82" t="s">
        <v>64</v>
      </c>
      <c r="F25" s="83">
        <v>50</v>
      </c>
      <c r="G25" s="84">
        <v>33</v>
      </c>
      <c r="H25" s="85">
        <f t="shared" si="0"/>
        <v>1650</v>
      </c>
      <c r="I25" s="83">
        <v>2</v>
      </c>
      <c r="J25" s="86">
        <f t="shared" si="1"/>
        <v>25</v>
      </c>
      <c r="K25" s="87">
        <v>0.125</v>
      </c>
      <c r="L25" s="88">
        <f t="shared" si="2"/>
        <v>6.25</v>
      </c>
      <c r="M25" s="89" t="s">
        <v>65</v>
      </c>
      <c r="N25" s="90">
        <v>9010585393535</v>
      </c>
      <c r="O25" s="91">
        <v>9.4</v>
      </c>
      <c r="P25" s="91">
        <f t="shared" si="3"/>
        <v>470</v>
      </c>
      <c r="Q25" s="91">
        <v>11.3</v>
      </c>
      <c r="R25" s="92">
        <f t="shared" si="4"/>
        <v>565</v>
      </c>
      <c r="S25" s="93" t="s">
        <v>72</v>
      </c>
    </row>
    <row r="26" s="4" customFormat="1" ht="93" customHeight="1" spans="1:20">
      <c r="A26" s="95"/>
      <c r="B26" s="79" t="s">
        <v>73</v>
      </c>
      <c r="C26" s="80" t="s">
        <v>74</v>
      </c>
      <c r="D26" s="81" t="s">
        <v>75</v>
      </c>
      <c r="E26" s="82" t="s">
        <v>76</v>
      </c>
      <c r="F26" s="83">
        <v>150</v>
      </c>
      <c r="G26" s="84">
        <v>28</v>
      </c>
      <c r="H26" s="85">
        <f t="shared" si="0"/>
        <v>4200</v>
      </c>
      <c r="I26" s="83">
        <v>2</v>
      </c>
      <c r="J26" s="86">
        <f t="shared" si="1"/>
        <v>75</v>
      </c>
      <c r="K26" s="87">
        <v>0.139</v>
      </c>
      <c r="L26" s="88">
        <f t="shared" si="2"/>
        <v>20.85</v>
      </c>
      <c r="M26" s="89" t="s">
        <v>65</v>
      </c>
      <c r="N26" s="90">
        <v>9010585393559</v>
      </c>
      <c r="O26" s="91">
        <v>10.2</v>
      </c>
      <c r="P26" s="91">
        <f t="shared" si="3"/>
        <v>1530</v>
      </c>
      <c r="Q26" s="91">
        <v>12.6</v>
      </c>
      <c r="R26" s="92">
        <f t="shared" si="4"/>
        <v>1890</v>
      </c>
      <c r="S26" s="93" t="s">
        <v>77</v>
      </c>
    </row>
    <row r="27" s="4" customFormat="1" ht="98" customHeight="1" spans="1:20">
      <c r="A27" s="78"/>
      <c r="B27" s="79" t="s">
        <v>78</v>
      </c>
      <c r="C27" s="80" t="s">
        <v>79</v>
      </c>
      <c r="D27" s="81" t="s">
        <v>80</v>
      </c>
      <c r="E27" s="82" t="s">
        <v>81</v>
      </c>
      <c r="F27" s="83">
        <v>50</v>
      </c>
      <c r="G27" s="84">
        <v>20</v>
      </c>
      <c r="H27" s="85">
        <f t="shared" si="0"/>
        <v>1000</v>
      </c>
      <c r="I27" s="83">
        <v>2</v>
      </c>
      <c r="J27" s="86">
        <f t="shared" si="1"/>
        <v>25</v>
      </c>
      <c r="K27" s="87">
        <v>0.112</v>
      </c>
      <c r="L27" s="88">
        <f t="shared" si="2"/>
        <v>5.6</v>
      </c>
      <c r="M27" s="89" t="s">
        <v>82</v>
      </c>
      <c r="N27" s="90">
        <v>9010585847755</v>
      </c>
      <c r="O27" s="91">
        <v>7.1</v>
      </c>
      <c r="P27" s="91">
        <f t="shared" si="3"/>
        <v>355</v>
      </c>
      <c r="Q27" s="91">
        <v>8.5</v>
      </c>
      <c r="R27" s="92">
        <f t="shared" si="4"/>
        <v>425</v>
      </c>
      <c r="S27" s="93" t="s">
        <v>83</v>
      </c>
    </row>
    <row r="28" s="4" customFormat="1" ht="29" customHeight="1" spans="1:20">
      <c r="A28" s="96" t="s">
        <v>84</v>
      </c>
      <c r="B28" s="9"/>
      <c r="C28" s="9"/>
      <c r="D28" s="9"/>
      <c r="E28" s="10"/>
      <c r="F28" s="97">
        <v>30</v>
      </c>
      <c r="G28" s="96" t="s">
        <v>85</v>
      </c>
      <c r="H28" s="10"/>
      <c r="I28" s="98"/>
      <c r="J28" s="99">
        <v>1</v>
      </c>
      <c r="K28" s="98"/>
      <c r="L28" s="100">
        <v>0.014</v>
      </c>
      <c r="M28" s="98"/>
      <c r="N28" s="101"/>
      <c r="O28" s="102">
        <v>1</v>
      </c>
      <c r="P28" s="102"/>
      <c r="Q28" s="102">
        <v>2</v>
      </c>
      <c r="R28" s="103"/>
      <c r="S28" s="104"/>
    </row>
    <row r="29" ht="22.5" customHeight="1" spans="1:20">
      <c r="A29" s="105" t="s">
        <v>15</v>
      </c>
      <c r="B29" s="106"/>
      <c r="C29" s="106"/>
      <c r="D29" s="106"/>
      <c r="E29" s="106"/>
      <c r="F29" s="106"/>
      <c r="G29" s="106"/>
      <c r="H29" s="107">
        <f>SUM(H22:H27)</f>
        <v>14704</v>
      </c>
      <c r="I29" s="108"/>
      <c r="J29" s="13"/>
      <c r="K29" s="13"/>
      <c r="L29" s="13"/>
      <c r="M29" s="13"/>
      <c r="N29" s="13"/>
      <c r="O29" s="109"/>
      <c r="P29" s="109"/>
      <c r="Q29" s="109"/>
      <c r="R29" s="110"/>
      <c r="S29" s="77"/>
    </row>
    <row r="30" ht="22.5" customHeight="1" spans="1:20">
      <c r="A30" s="111" t="s">
        <v>86</v>
      </c>
      <c r="B30" s="106"/>
      <c r="C30" s="106"/>
      <c r="D30" s="106"/>
      <c r="E30" s="106"/>
      <c r="F30" s="106"/>
      <c r="G30" s="106"/>
      <c r="H30" s="112">
        <v>0.045</v>
      </c>
      <c r="I30" s="113"/>
      <c r="J30" s="13"/>
      <c r="K30" s="13"/>
      <c r="L30" s="13"/>
      <c r="M30" s="13"/>
      <c r="N30" s="13"/>
      <c r="O30" s="114"/>
      <c r="P30" s="114"/>
      <c r="Q30" s="114"/>
      <c r="R30" s="114"/>
      <c r="S30" s="77"/>
    </row>
    <row r="31" ht="21.75" customHeight="1" spans="1:20">
      <c r="A31" s="115" t="s">
        <v>87</v>
      </c>
      <c r="B31" s="9"/>
      <c r="C31" s="9"/>
      <c r="D31" s="9"/>
      <c r="E31" s="9"/>
      <c r="F31" s="116">
        <f>SUM(F22:F27)</f>
        <v>488</v>
      </c>
      <c r="G31" s="117" t="s">
        <v>15</v>
      </c>
      <c r="H31" s="118">
        <f>H30*95.5%</f>
        <v>0.042975</v>
      </c>
      <c r="I31" s="117" t="s">
        <v>15</v>
      </c>
      <c r="J31" s="119">
        <f>SUM(J22:J27)</f>
        <v>244</v>
      </c>
      <c r="K31" s="117" t="s">
        <v>15</v>
      </c>
      <c r="L31" s="120">
        <f>SUM(L22:L27)</f>
        <v>63.704</v>
      </c>
      <c r="M31" s="117" t="s">
        <v>15</v>
      </c>
      <c r="N31" s="121" t="s">
        <v>15</v>
      </c>
      <c r="O31" s="122"/>
      <c r="P31" s="122">
        <f>SUM(P22:P27)</f>
        <v>4700.5</v>
      </c>
      <c r="R31" s="122">
        <f>SUM(R22:R27)</f>
        <v>5592.2</v>
      </c>
    </row>
    <row r="32" ht="29.25" customHeight="1" spans="1:20">
      <c r="A32" s="123" t="s">
        <v>88</v>
      </c>
      <c r="B32" s="124" t="s">
        <v>89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  <c r="O32" s="77"/>
      <c r="P32" s="77"/>
      <c r="Q32" s="77"/>
      <c r="R32" s="77"/>
      <c r="S32" s="77"/>
    </row>
    <row r="33" ht="29.25" customHeight="1" spans="1:19">
      <c r="A33" s="125"/>
      <c r="B33" s="12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77"/>
      <c r="P33" s="77"/>
      <c r="Q33" s="77"/>
      <c r="R33" s="77"/>
      <c r="S33" s="77"/>
    </row>
    <row r="34" ht="14.25" customHeight="1" spans="1:19">
      <c r="A34" s="127" t="s">
        <v>90</v>
      </c>
      <c r="B34" s="9"/>
      <c r="C34" s="128" t="s">
        <v>91</v>
      </c>
      <c r="D34" s="10"/>
      <c r="E34" s="5"/>
      <c r="F34" s="5"/>
      <c r="G34" s="5"/>
      <c r="H34" s="5"/>
      <c r="I34" s="5"/>
      <c r="J34" s="5"/>
      <c r="K34" s="5"/>
      <c r="L34" s="5"/>
      <c r="M34" s="5"/>
      <c r="N34" s="5"/>
      <c r="O34" s="77"/>
      <c r="P34" s="77"/>
      <c r="Q34" s="77"/>
      <c r="R34" s="77"/>
      <c r="S34" s="77"/>
    </row>
    <row r="35" ht="28" customHeight="1" spans="1:19">
      <c r="A35" s="127" t="s">
        <v>92</v>
      </c>
      <c r="B35" s="9"/>
      <c r="C35" s="129" t="s">
        <v>93</v>
      </c>
      <c r="D35" s="10"/>
      <c r="E35" s="5"/>
      <c r="F35" s="5"/>
      <c r="G35" s="5"/>
      <c r="H35" s="5"/>
      <c r="I35" s="5"/>
      <c r="J35" s="130" t="s">
        <v>94</v>
      </c>
      <c r="K35" s="131"/>
      <c r="L35" s="131"/>
      <c r="M35" s="132"/>
      <c r="N35" s="5"/>
      <c r="O35" s="77"/>
      <c r="P35" s="77"/>
      <c r="Q35" s="77"/>
      <c r="R35" s="77"/>
      <c r="S35" s="77"/>
    </row>
    <row r="36" spans="1:19">
      <c r="A36" s="127" t="s">
        <v>95</v>
      </c>
      <c r="B36" s="9"/>
      <c r="C36" s="133" t="s">
        <v>96</v>
      </c>
      <c r="D36" s="10"/>
      <c r="E36" s="5"/>
      <c r="F36" s="5"/>
      <c r="G36" s="5"/>
      <c r="H36" s="5"/>
      <c r="I36" s="5"/>
      <c r="J36" s="134" t="s">
        <v>97</v>
      </c>
      <c r="M36" s="135"/>
      <c r="N36" s="5"/>
      <c r="O36" s="77"/>
      <c r="P36" s="77"/>
      <c r="Q36" s="77"/>
      <c r="R36" s="77"/>
      <c r="S36" s="77"/>
    </row>
    <row r="37" ht="14.25" customHeight="1" spans="1:19">
      <c r="A37" s="127" t="s">
        <v>98</v>
      </c>
      <c r="B37" s="9"/>
      <c r="C37" s="133" t="s">
        <v>99</v>
      </c>
      <c r="D37" s="10"/>
      <c r="E37" s="5"/>
      <c r="F37" s="5"/>
      <c r="G37" s="5"/>
      <c r="H37" s="5"/>
      <c r="I37" s="5"/>
      <c r="J37" s="134" t="s">
        <v>100</v>
      </c>
      <c r="M37" s="135"/>
      <c r="N37" s="5"/>
      <c r="O37" s="77"/>
      <c r="P37" s="77"/>
      <c r="Q37" s="77"/>
      <c r="R37" s="77"/>
      <c r="S37" s="77"/>
    </row>
    <row r="38" ht="14.25" customHeight="1" spans="1:19">
      <c r="A38" s="127" t="s">
        <v>101</v>
      </c>
      <c r="B38" s="9"/>
      <c r="C38" s="133" t="s">
        <v>102</v>
      </c>
      <c r="D38" s="10"/>
      <c r="E38" s="5"/>
      <c r="F38" s="5"/>
      <c r="G38" s="5"/>
      <c r="H38" s="5"/>
      <c r="I38" s="5"/>
      <c r="J38" s="134"/>
      <c r="K38" s="136"/>
      <c r="L38" s="136"/>
      <c r="M38" s="135"/>
      <c r="N38" s="5"/>
      <c r="O38" s="77"/>
      <c r="P38" s="77"/>
      <c r="Q38" s="77"/>
      <c r="R38" s="77"/>
      <c r="S38" s="77"/>
    </row>
    <row r="39" ht="14.25" customHeight="1" spans="1:19">
      <c r="A39" s="127" t="s">
        <v>103</v>
      </c>
      <c r="B39" s="9"/>
      <c r="C39" s="133" t="s">
        <v>104</v>
      </c>
      <c r="D39" s="10"/>
      <c r="E39" s="5"/>
      <c r="F39" s="5"/>
      <c r="G39" s="5"/>
      <c r="H39" s="5"/>
      <c r="I39" s="5"/>
      <c r="J39" s="134" t="s">
        <v>105</v>
      </c>
      <c r="M39" s="135"/>
      <c r="N39" s="5"/>
      <c r="O39" s="77"/>
      <c r="P39" s="77"/>
      <c r="Q39" s="77"/>
      <c r="R39" s="77"/>
      <c r="S39" s="77"/>
    </row>
    <row r="40" ht="14.25" customHeight="1" spans="1:19">
      <c r="A40" s="127" t="s">
        <v>106</v>
      </c>
      <c r="B40" s="9"/>
      <c r="C40" s="133" t="s">
        <v>107</v>
      </c>
      <c r="D40" s="10"/>
      <c r="E40" s="5"/>
      <c r="F40" s="5"/>
      <c r="G40" s="5"/>
      <c r="H40" s="5"/>
      <c r="I40" s="5"/>
      <c r="J40" s="137" t="s">
        <v>108</v>
      </c>
      <c r="K40" s="63"/>
      <c r="L40" s="63"/>
      <c r="M40" s="138"/>
      <c r="N40" s="5"/>
      <c r="O40" s="77"/>
      <c r="P40" s="77"/>
      <c r="Q40" s="77"/>
      <c r="R40" s="77"/>
      <c r="S40" s="77"/>
    </row>
    <row r="41" ht="14.25" customHeight="1" spans="1:19">
      <c r="A41" s="139"/>
      <c r="B41" s="139"/>
      <c r="C41" s="140"/>
      <c r="D41" s="140"/>
      <c r="E41" s="5"/>
      <c r="F41" s="5"/>
      <c r="G41" s="5"/>
      <c r="H41" s="5"/>
      <c r="I41" s="5"/>
      <c r="N41" s="5"/>
      <c r="O41" s="77"/>
      <c r="P41" s="77"/>
      <c r="Q41" s="77"/>
      <c r="R41" s="77"/>
      <c r="S41" s="77"/>
    </row>
    <row r="42" spans="1:19">
      <c r="A42" s="125"/>
      <c r="B42" s="126"/>
      <c r="C42" s="5"/>
      <c r="D42" s="5"/>
      <c r="E42" s="5"/>
      <c r="F42" s="5"/>
      <c r="G42" s="5"/>
      <c r="I42" s="141"/>
      <c r="N42" s="5"/>
      <c r="O42" s="77"/>
      <c r="P42" s="77"/>
      <c r="Q42" s="77"/>
      <c r="R42" s="77"/>
      <c r="S42" s="77"/>
    </row>
    <row r="43" ht="14.25" customHeight="1" spans="1:19">
      <c r="A43" s="142" t="s">
        <v>109</v>
      </c>
      <c r="B43" s="106"/>
      <c r="C43" s="143" t="s">
        <v>110</v>
      </c>
      <c r="D43" s="106"/>
      <c r="E43" s="144"/>
      <c r="F43" s="5"/>
      <c r="G43" s="5"/>
      <c r="H43" s="5"/>
      <c r="I43" s="5"/>
      <c r="N43" s="5"/>
      <c r="O43" s="77"/>
      <c r="P43" s="77"/>
      <c r="Q43" s="77"/>
      <c r="R43" s="77"/>
      <c r="S43" s="77"/>
    </row>
    <row r="44" ht="14.25" customHeight="1" spans="1:19">
      <c r="A44" s="74"/>
      <c r="C44" s="135" t="s">
        <v>111</v>
      </c>
      <c r="E44" s="145"/>
      <c r="F44" s="5"/>
      <c r="G44" s="5"/>
      <c r="H44" s="5"/>
      <c r="I44" s="5"/>
      <c r="N44" s="5"/>
      <c r="O44" s="77"/>
      <c r="P44" s="77"/>
      <c r="Q44" s="77"/>
      <c r="R44" s="77"/>
      <c r="S44" s="77"/>
    </row>
    <row r="45" ht="14.25" customHeight="1" spans="1:19">
      <c r="A45" s="73"/>
      <c r="B45" s="63"/>
      <c r="C45" s="146" t="s">
        <v>112</v>
      </c>
      <c r="D45" s="63"/>
      <c r="E45" s="40"/>
      <c r="F45" s="5"/>
      <c r="G45" s="5"/>
      <c r="H45" s="5"/>
      <c r="I45" s="5"/>
      <c r="N45" s="5"/>
      <c r="O45" s="77"/>
      <c r="P45" s="77"/>
      <c r="Q45" s="77"/>
      <c r="R45" s="77"/>
      <c r="S45" s="77"/>
    </row>
    <row r="46" spans="1:19">
      <c r="A46" s="125"/>
      <c r="B46" s="126"/>
      <c r="C46" s="140"/>
      <c r="D46" s="140"/>
      <c r="E46" s="140"/>
      <c r="F46" s="5"/>
      <c r="G46" s="5"/>
      <c r="H46" s="5"/>
      <c r="I46" s="5"/>
      <c r="N46" s="5"/>
      <c r="O46" s="77"/>
      <c r="P46" s="77"/>
      <c r="Q46" s="77"/>
      <c r="R46" s="77"/>
      <c r="S46" s="77"/>
    </row>
    <row r="47" ht="14.25" customHeight="1" spans="1:19">
      <c r="A47" s="64" t="s">
        <v>113</v>
      </c>
      <c r="J47" s="147"/>
      <c r="K47" s="147"/>
      <c r="L47" s="147"/>
      <c r="M47" s="147"/>
      <c r="N47" s="147"/>
      <c r="O47" s="77"/>
      <c r="P47" s="77"/>
      <c r="Q47" s="77"/>
      <c r="R47" s="77"/>
      <c r="S47" s="77"/>
    </row>
    <row r="48" spans="1:19">
      <c r="A48" s="14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77"/>
      <c r="P48" s="77"/>
      <c r="Q48" s="77"/>
      <c r="R48" s="77"/>
      <c r="S48" s="77"/>
    </row>
    <row r="49" s="5" customFormat="1" ht="14.1" customHeight="1" spans="1:19">
      <c r="A49" s="149" t="s">
        <v>114</v>
      </c>
      <c r="O49" s="77"/>
      <c r="P49" s="77"/>
      <c r="Q49" s="77"/>
      <c r="R49" s="77"/>
      <c r="S49" s="77"/>
    </row>
    <row r="50" s="5" customFormat="1" ht="12.95" customHeight="1" spans="1:19">
      <c r="A50" s="147" t="s">
        <v>115</v>
      </c>
      <c r="B50" s="136" t="s">
        <v>116</v>
      </c>
      <c r="O50" s="77"/>
      <c r="P50" s="77"/>
      <c r="Q50" s="77"/>
      <c r="R50" s="77"/>
      <c r="S50" s="77"/>
    </row>
    <row r="51" s="5" customFormat="1" ht="12.95" customHeight="1" spans="1:19">
      <c r="A51" s="147" t="s">
        <v>117</v>
      </c>
      <c r="B51" s="136" t="s">
        <v>118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77"/>
      <c r="P51" s="77"/>
      <c r="Q51" s="77"/>
      <c r="R51" s="77"/>
      <c r="S51" s="77"/>
    </row>
    <row r="52" s="5" customFormat="1" ht="12.95" customHeight="1" spans="1:19">
      <c r="A52" s="147" t="s">
        <v>119</v>
      </c>
      <c r="B52" s="136" t="s">
        <v>120</v>
      </c>
      <c r="O52" s="77"/>
      <c r="P52" s="77"/>
      <c r="Q52" s="77"/>
      <c r="R52" s="77"/>
      <c r="S52" s="77"/>
    </row>
    <row r="53" s="5" customFormat="1" ht="12.95" customHeight="1" spans="1:19">
      <c r="A53" s="147" t="s">
        <v>121</v>
      </c>
      <c r="B53" s="154" t="s">
        <v>122</v>
      </c>
      <c r="O53" s="77"/>
      <c r="P53" s="77"/>
      <c r="Q53" s="77"/>
      <c r="R53" s="77"/>
      <c r="S53" s="77"/>
    </row>
    <row r="54" s="5" customFormat="1" ht="12.95" customHeight="1" spans="1:19">
      <c r="A54" s="147" t="s">
        <v>123</v>
      </c>
      <c r="B54" s="136" t="s">
        <v>124</v>
      </c>
      <c r="O54" s="77"/>
      <c r="P54" s="77"/>
      <c r="Q54" s="77"/>
      <c r="R54" s="77"/>
      <c r="S54" s="77"/>
    </row>
    <row r="55" s="5" customFormat="1" spans="1:19">
      <c r="A55" s="147" t="s">
        <v>125</v>
      </c>
      <c r="B55" s="136" t="s">
        <v>126</v>
      </c>
      <c r="O55" s="77"/>
      <c r="P55" s="77"/>
      <c r="Q55" s="77"/>
      <c r="R55" s="77"/>
      <c r="S55" s="77"/>
    </row>
    <row r="56" s="5" customFormat="1" ht="12.95" customHeight="1" spans="1:19">
      <c r="A56" s="147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77"/>
      <c r="P56" s="77"/>
      <c r="Q56" s="77"/>
      <c r="R56" s="77"/>
      <c r="S56" s="77"/>
    </row>
    <row r="57" ht="18" customHeight="1" spans="1:19">
      <c r="A57" s="150" t="s">
        <v>127</v>
      </c>
      <c r="I57" s="150" t="s">
        <v>128</v>
      </c>
      <c r="O57" s="77"/>
      <c r="P57" s="151"/>
      <c r="Q57" s="151"/>
      <c r="R57" s="151"/>
      <c r="S57" s="77"/>
    </row>
    <row r="58" spans="1:19">
      <c r="O58" s="151"/>
      <c r="P58" s="151"/>
      <c r="Q58" s="151"/>
      <c r="R58" s="151"/>
      <c r="S58" s="77"/>
    </row>
    <row r="59" spans="1:19">
      <c r="O59" s="151"/>
      <c r="P59" s="151"/>
      <c r="Q59" s="151"/>
      <c r="R59" s="151"/>
      <c r="S59" s="77"/>
    </row>
    <row r="60" spans="1:19">
      <c r="O60" s="151"/>
      <c r="P60" s="151"/>
      <c r="Q60" s="151"/>
      <c r="R60" s="151"/>
      <c r="S60" s="77"/>
    </row>
    <row r="61" spans="1:19">
      <c r="O61" s="152"/>
      <c r="P61" s="77"/>
      <c r="Q61" s="77"/>
      <c r="R61" s="77"/>
      <c r="S61" s="77"/>
    </row>
  </sheetData>
  <mergeCells count="73">
    <mergeCell ref="A1:N1"/>
    <mergeCell ref="B2:N2"/>
    <mergeCell ref="B3:C3"/>
    <mergeCell ref="F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5:N15"/>
    <mergeCell ref="M16:N16"/>
    <mergeCell ref="M17:N17"/>
    <mergeCell ref="M18:N18"/>
    <mergeCell ref="K19:L19"/>
    <mergeCell ref="A28:E28"/>
    <mergeCell ref="G28:H28"/>
    <mergeCell ref="A29:G29"/>
    <mergeCell ref="I29:N29"/>
    <mergeCell ref="A30:G30"/>
    <mergeCell ref="I30:N30"/>
    <mergeCell ref="A31:E31"/>
    <mergeCell ref="B32:N32"/>
    <mergeCell ref="A34:B34"/>
    <mergeCell ref="C34:D34"/>
    <mergeCell ref="A35:B35"/>
    <mergeCell ref="C35:D35"/>
    <mergeCell ref="A36:B36"/>
    <mergeCell ref="C36:D36"/>
    <mergeCell ref="J36:L36"/>
    <mergeCell ref="A37:B37"/>
    <mergeCell ref="C37:D37"/>
    <mergeCell ref="J37:L37"/>
    <mergeCell ref="A38:B38"/>
    <mergeCell ref="C38:D38"/>
    <mergeCell ref="A39:B39"/>
    <mergeCell ref="C39:D39"/>
    <mergeCell ref="J39:L39"/>
    <mergeCell ref="A40:B40"/>
    <mergeCell ref="C40:D40"/>
    <mergeCell ref="J40:L40"/>
    <mergeCell ref="C43:E43"/>
    <mergeCell ref="C44:E44"/>
    <mergeCell ref="C45:E45"/>
    <mergeCell ref="A47:I47"/>
    <mergeCell ref="B50:N50"/>
    <mergeCell ref="B52:N52"/>
    <mergeCell ref="B53:N53"/>
    <mergeCell ref="B54:N54"/>
    <mergeCell ref="B55:N55"/>
    <mergeCell ref="A57:H57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M20:M21"/>
    <mergeCell ref="N20:N21"/>
    <mergeCell ref="O20:O21"/>
    <mergeCell ref="P20:P21"/>
    <mergeCell ref="Q20:Q21"/>
    <mergeCell ref="R20:R21"/>
    <mergeCell ref="B16:D18"/>
    <mergeCell ref="A43:B45"/>
  </mergeCells>
  <dataValidations count="2">
    <dataValidation type="list" allowBlank="1" sqref="M39">
      <formula1>'Drop Down'!$C$1:$C$2</formula1>
    </dataValidation>
    <dataValidation type="list" allowBlank="1" sqref="B16:D18">
      <formula1>'Drop Down'!$A$1:$A$4</formula1>
    </dataValidation>
  </dataValidations>
  <hyperlinks>
    <hyperlink ref="F3" r:id="rId4" display="ivory@dyfurniture.net" tooltip="mailto:ivory@dyfurniture.net"/>
  </hyperlinks>
  <printOptions horizontalCentered="1"/>
  <pageMargins left="0.118055555555556" right="0.118055555555556" top="0.118055555555556" bottom="0.118055555555556" header="0.118055555555556" footer="0.118055555555556"/>
  <pageSetup paperSize="9" scale="55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 Down</vt:lpstr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 Sandra</dc:creator>
  <cp:lastModifiedBy>杨自渡</cp:lastModifiedBy>
  <dcterms:created xsi:type="dcterms:W3CDTF">2017-01-13T11:37:00Z</dcterms:created>
  <cp:lastPrinted>2019-09-24T06:37:00Z</cp:lastPrinted>
  <dcterms:modified xsi:type="dcterms:W3CDTF">2026-06-30T06:37:18Z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1A0CBAC9F33B4631AB188DE715762136_13</vt:lpwstr>
  </property>
  <property fmtid="{D5CDD505-2E9C-101B-9397-08002B2CF9AE}" pid="4" name="CalculationRule">
    <vt:i4>0</vt:i4>
  </property>
</Properties>
</file>